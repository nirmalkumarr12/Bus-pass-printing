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0115" windowHeight="7995"/>
  </bookViews>
  <sheets>
    <sheet name="Layout" sheetId="2" r:id="rId1"/>
  </sheets>
  <definedNames>
    <definedName name="DynamicFileName">Layout!$T$2</definedName>
    <definedName name="FileName">Layout!$Q$2</definedName>
    <definedName name="PageToPrint">Layout!$Q$6</definedName>
    <definedName name="_xlnm.Print_Area" localSheetId="0">Layout!$A$1:$K$44</definedName>
    <definedName name="RowsPerPage">Layout!$V$3</definedName>
    <definedName name="SheetName">Layout!$Q$4</definedName>
    <definedName name="TotalPages">Layout!$S$6</definedName>
    <definedName name="TotalRows">Layout!$V$2</definedName>
  </definedNames>
  <calcPr calcId="145621"/>
</workbook>
</file>

<file path=xl/calcChain.xml><?xml version="1.0" encoding="utf-8"?>
<calcChain xmlns="http://schemas.openxmlformats.org/spreadsheetml/2006/main">
  <c r="T2" i="2" l="1"/>
  <c r="O11" i="2" l="1"/>
  <c r="O12" i="2"/>
  <c r="O13" i="2"/>
  <c r="O14" i="2"/>
  <c r="O15" i="2"/>
  <c r="O16" i="2"/>
  <c r="O17" i="2"/>
  <c r="O10" i="2"/>
  <c r="P10" i="2"/>
  <c r="Y13" i="2"/>
  <c r="Q17" i="2"/>
  <c r="V10" i="2"/>
  <c r="R11" i="2"/>
  <c r="P12" i="2"/>
  <c r="P13" i="2"/>
  <c r="T14" i="2"/>
  <c r="W15" i="2"/>
  <c r="W16" i="2"/>
  <c r="V2" i="2"/>
  <c r="P11" i="2"/>
  <c r="X17" i="2"/>
  <c r="W10" i="2"/>
  <c r="Q11" i="2"/>
  <c r="U12" i="2"/>
  <c r="W13" i="2"/>
  <c r="W14" i="2"/>
  <c r="V16" i="2"/>
  <c r="Q12" i="2"/>
  <c r="V14" i="2"/>
  <c r="Y16" i="2"/>
  <c r="V12" i="2"/>
  <c r="S14" i="2"/>
  <c r="Y17" i="2"/>
  <c r="T11" i="2"/>
  <c r="R14" i="2"/>
  <c r="T16" i="2"/>
  <c r="Y14" i="2"/>
  <c r="R15" i="2"/>
  <c r="Q15" i="2"/>
  <c r="Q10" i="2"/>
  <c r="U11" i="2"/>
  <c r="X13" i="2"/>
  <c r="U16" i="2"/>
  <c r="U17" i="2"/>
  <c r="T12" i="2"/>
  <c r="S15" i="2"/>
  <c r="Y15" i="2"/>
  <c r="P17" i="2"/>
  <c r="R17" i="2"/>
  <c r="X10" i="2"/>
  <c r="X11" i="2"/>
  <c r="U13" i="2"/>
  <c r="R16" i="2"/>
  <c r="V17" i="2"/>
  <c r="W12" i="2"/>
  <c r="U15" i="2"/>
  <c r="R10" i="2"/>
  <c r="T13" i="2"/>
  <c r="V13" i="2"/>
  <c r="S16" i="2"/>
  <c r="Y10" i="2"/>
  <c r="W17" i="2"/>
  <c r="S10" i="2"/>
  <c r="S11" i="2"/>
  <c r="S12" i="2"/>
  <c r="S13" i="2"/>
  <c r="Q14" i="2"/>
  <c r="U14" i="2"/>
  <c r="V15" i="2"/>
  <c r="Q16" i="2"/>
  <c r="Y11" i="2"/>
  <c r="T17" i="2"/>
  <c r="T10" i="2"/>
  <c r="W11" i="2"/>
  <c r="R12" i="2"/>
  <c r="R13" i="2"/>
  <c r="X14" i="2"/>
  <c r="X15" i="2"/>
  <c r="T15" i="2"/>
  <c r="P16" i="2"/>
  <c r="Y12" i="2"/>
  <c r="S17" i="2"/>
  <c r="U10" i="2"/>
  <c r="V11" i="2"/>
  <c r="X12" i="2"/>
  <c r="Q13" i="2"/>
  <c r="P14" i="2"/>
  <c r="P15" i="2"/>
  <c r="X16" i="2"/>
  <c r="C1" i="2" l="1"/>
  <c r="D3" i="2"/>
  <c r="I23" i="2"/>
  <c r="H35" i="2"/>
  <c r="G42" i="2"/>
  <c r="J39" i="2"/>
  <c r="J38" i="2"/>
  <c r="J36" i="2"/>
  <c r="K34" i="2"/>
  <c r="I34" i="2"/>
  <c r="A42" i="2"/>
  <c r="D39" i="2"/>
  <c r="D38" i="2"/>
  <c r="D36" i="2"/>
  <c r="B35" i="2"/>
  <c r="E34" i="2"/>
  <c r="C34" i="2"/>
  <c r="A31" i="2"/>
  <c r="G31" i="2"/>
  <c r="J28" i="2"/>
  <c r="J27" i="2"/>
  <c r="J25" i="2"/>
  <c r="H24" i="2"/>
  <c r="K23" i="2"/>
  <c r="H13" i="2"/>
  <c r="B13" i="2"/>
  <c r="D28" i="2"/>
  <c r="D27" i="2"/>
  <c r="D25" i="2"/>
  <c r="B24" i="2"/>
  <c r="E23" i="2"/>
  <c r="C23" i="2"/>
  <c r="G20" i="2"/>
  <c r="J17" i="2"/>
  <c r="J16" i="2"/>
  <c r="J14" i="2"/>
  <c r="K12" i="2"/>
  <c r="I12" i="2"/>
  <c r="C12" i="2"/>
  <c r="A20" i="2"/>
  <c r="D17" i="2"/>
  <c r="D16" i="2"/>
  <c r="D14" i="2"/>
  <c r="E12" i="2"/>
  <c r="E1" i="2"/>
  <c r="G9" i="2"/>
  <c r="J6" i="2"/>
  <c r="J5" i="2"/>
  <c r="J3" i="2"/>
  <c r="H2" i="2"/>
  <c r="K1" i="2"/>
  <c r="I1" i="2"/>
  <c r="A9" i="2"/>
  <c r="D6" i="2"/>
  <c r="D5" i="2"/>
  <c r="B2" i="2"/>
  <c r="S6" i="2"/>
</calcChain>
</file>

<file path=xl/sharedStrings.xml><?xml version="1.0" encoding="utf-8"?>
<sst xmlns="http://schemas.openxmlformats.org/spreadsheetml/2006/main" count="36" uniqueCount="29">
  <si>
    <t>Sno</t>
  </si>
  <si>
    <t>Name</t>
  </si>
  <si>
    <t>Class</t>
  </si>
  <si>
    <t>File Name</t>
  </si>
  <si>
    <t>Total Rows</t>
  </si>
  <si>
    <t>Rows/Pg</t>
  </si>
  <si>
    <t>Page To Print</t>
  </si>
  <si>
    <t>Of</t>
  </si>
  <si>
    <t>Section</t>
  </si>
  <si>
    <t>Pass #</t>
  </si>
  <si>
    <t>From</t>
  </si>
  <si>
    <t>To</t>
  </si>
  <si>
    <t>Res Address</t>
  </si>
  <si>
    <t>Sch Address</t>
  </si>
  <si>
    <t>DoI</t>
  </si>
  <si>
    <t>KumbakonamData.xlsx</t>
  </si>
  <si>
    <t>No Photo</t>
  </si>
  <si>
    <t>Picture</t>
  </si>
  <si>
    <t>A3</t>
  </si>
  <si>
    <t>G3</t>
  </si>
  <si>
    <t>A14</t>
  </si>
  <si>
    <t>G14</t>
  </si>
  <si>
    <t>A25</t>
  </si>
  <si>
    <t>G25</t>
  </si>
  <si>
    <t>A36</t>
  </si>
  <si>
    <t>G36</t>
  </si>
  <si>
    <t>Picture Location</t>
  </si>
  <si>
    <t>Sheet</t>
  </si>
  <si>
    <t>Tbl_Students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</si>
</sst>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;@"/>
    <numFmt numFmtId="165" formatCode="General;General;;@"/>
    <numFmt numFmtId="166" formatCode="dd/mm/yy;;;@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0"/>
      <color theme="1"/>
      <name val="Calibri"/>
      <family val="2"/>
      <scheme val="minor"/>
    </font>
    <font>
      <sz val="10"/>
      <color theme="0"/>
      <name val="Segoe UI"/>
      <family val="2"/>
    </font>
    <font>
      <b/>
      <sz val="14"/>
      <color theme="1"/>
      <name val="Segoe UI"/>
      <family val="2"/>
    </font>
    <font>
      <sz val="9"/>
      <color theme="1"/>
      <name val="Segoe UI"/>
      <family val="2"/>
    </font>
    <font>
      <sz val="8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3" fillId="0" borderId="0" xfId="0" applyFont="1" applyAlignment="1">
      <alignment vertical="center"/>
    </xf>
    <xf numFmtId="3" fontId="1" fillId="0" borderId="0" xfId="0" applyNumberFormat="1" applyFont="1" applyAlignment="1">
      <alignment vertical="center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165" fontId="3" fillId="0" borderId="0" xfId="0" applyNumberFormat="1" applyFont="1" applyBorder="1" applyAlignment="1">
      <alignment vertical="center"/>
    </xf>
    <xf numFmtId="166" fontId="3" fillId="0" borderId="0" xfId="0" applyNumberFormat="1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164" fontId="5" fillId="0" borderId="3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" fillId="0" borderId="3" xfId="0" applyFont="1" applyBorder="1" applyAlignment="1">
      <alignment vertical="center" textRotation="45"/>
    </xf>
    <xf numFmtId="0" fontId="1" fillId="0" borderId="0" xfId="0" applyFont="1" applyBorder="1" applyAlignment="1">
      <alignment vertical="center" textRotation="45"/>
    </xf>
    <xf numFmtId="0" fontId="6" fillId="0" borderId="0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64" fontId="5" fillId="0" borderId="0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horizontal="right" vertical="center" wrapText="1"/>
    </xf>
    <xf numFmtId="3" fontId="4" fillId="0" borderId="8" xfId="0" applyNumberFormat="1" applyFont="1" applyBorder="1" applyAlignment="1">
      <alignment horizontal="center" vertical="center"/>
    </xf>
    <xf numFmtId="3" fontId="4" fillId="0" borderId="9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3" fontId="4" fillId="0" borderId="0" xfId="0" applyNumberFormat="1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0"/>
  <sheetViews>
    <sheetView showGridLines="0" tabSelected="1" workbookViewId="0">
      <selection activeCell="R6" sqref="R6:R7"/>
    </sheetView>
  </sheetViews>
  <sheetFormatPr defaultRowHeight="14.25" x14ac:dyDescent="0.25"/>
  <cols>
    <col min="1" max="1" width="5.7109375" style="1" customWidth="1"/>
    <col min="2" max="2" width="5.28515625" style="1" customWidth="1"/>
    <col min="3" max="3" width="10.7109375" style="1" customWidth="1"/>
    <col min="4" max="4" width="9.7109375" style="1" customWidth="1"/>
    <col min="5" max="5" width="14.85546875" style="1" customWidth="1"/>
    <col min="6" max="6" width="1.42578125" style="1" customWidth="1"/>
    <col min="7" max="7" width="5.7109375" style="1" customWidth="1"/>
    <col min="8" max="8" width="5.28515625" style="1" customWidth="1"/>
    <col min="9" max="9" width="10.7109375" style="1" customWidth="1"/>
    <col min="10" max="10" width="9.7109375" style="1" customWidth="1"/>
    <col min="11" max="11" width="14.85546875" style="1" customWidth="1"/>
    <col min="12" max="12" width="5.7109375" style="2" customWidth="1"/>
    <col min="13" max="13" width="5.28515625" style="2" customWidth="1"/>
    <col min="14" max="14" width="1.42578125" style="1" customWidth="1"/>
    <col min="15" max="16" width="9.140625" style="1"/>
    <col min="17" max="17" width="9.85546875" style="1" bestFit="1" customWidth="1"/>
    <col min="18" max="18" width="9.140625" style="1"/>
    <col min="19" max="19" width="9.85546875" style="1" bestFit="1" customWidth="1"/>
    <col min="20" max="20" width="9.140625" style="1"/>
    <col min="21" max="21" width="10.7109375" style="1" bestFit="1" customWidth="1"/>
    <col min="22" max="25" width="9.140625" style="1"/>
    <col min="26" max="26" width="10" style="1" customWidth="1"/>
    <col min="27" max="16384" width="9.140625" style="1"/>
  </cols>
  <sheetData>
    <row r="1" spans="1:26" ht="18" customHeight="1" x14ac:dyDescent="0.25">
      <c r="A1" s="20"/>
      <c r="B1" s="21"/>
      <c r="C1" s="7" t="str">
        <f ca="1">P10 &amp; "-" &amp; Q10</f>
        <v>VIII-A</v>
      </c>
      <c r="D1" s="7"/>
      <c r="E1" s="8">
        <f ca="1">R10</f>
        <v>1</v>
      </c>
      <c r="G1" s="20"/>
      <c r="H1" s="21"/>
      <c r="I1" s="7" t="str">
        <f ca="1">P11 &amp; "-" &amp; Q11</f>
        <v>VII-A</v>
      </c>
      <c r="J1" s="7"/>
      <c r="K1" s="8">
        <f ca="1">R11</f>
        <v>2</v>
      </c>
    </row>
    <row r="2" spans="1:26" ht="18.75" customHeight="1" x14ac:dyDescent="0.25">
      <c r="A2" s="3"/>
      <c r="B2" s="16" t="str">
        <f ca="1">S10</f>
        <v>NAVIN.K</v>
      </c>
      <c r="C2" s="16"/>
      <c r="D2" s="16"/>
      <c r="E2" s="17"/>
      <c r="G2" s="3"/>
      <c r="H2" s="16" t="str">
        <f ca="1">S11</f>
        <v>SURESH.K</v>
      </c>
      <c r="I2" s="16"/>
      <c r="J2" s="16"/>
      <c r="K2" s="17"/>
      <c r="P2" s="1" t="s">
        <v>3</v>
      </c>
      <c r="Q2" s="31" t="s">
        <v>15</v>
      </c>
      <c r="R2" s="31"/>
      <c r="S2" s="31"/>
      <c r="T2" s="5" t="str">
        <f>IF(FileName="","","'[" &amp; FileName &amp; "]" &amp; SheetName &amp; "'!")</f>
        <v>'[KumbakonamData.xlsx]Tbl_Students'!</v>
      </c>
      <c r="U2" s="1" t="s">
        <v>4</v>
      </c>
      <c r="V2" s="6">
        <f ca="1">COUNTA(INDIRECT(DynamicFileName &amp; "$A:$A"))</f>
        <v>183846</v>
      </c>
    </row>
    <row r="3" spans="1:26" ht="16.5" customHeight="1" x14ac:dyDescent="0.25">
      <c r="A3" s="22" t="s">
        <v>16</v>
      </c>
      <c r="B3" s="23"/>
      <c r="C3" s="16"/>
      <c r="D3" s="24" t="str">
        <f ca="1">T10 &amp; CHAR(10) &amp; "TO" &amp; CHAR(10) &amp; U10</f>
        <v>KORKAI
TO
NIDUR</v>
      </c>
      <c r="E3" s="25"/>
      <c r="G3" s="22" t="s">
        <v>16</v>
      </c>
      <c r="H3" s="23"/>
      <c r="I3" s="16"/>
      <c r="J3" s="24" t="str">
        <f ca="1">T11 &amp; CHAR(10) &amp; "TO" &amp; CHAR(10) &amp; U11</f>
        <v>KADALANGUDI
TO
NIDUR</v>
      </c>
      <c r="K3" s="25"/>
      <c r="U3" s="1" t="s">
        <v>5</v>
      </c>
      <c r="V3" s="6">
        <v>8</v>
      </c>
    </row>
    <row r="4" spans="1:26" ht="16.5" customHeight="1" x14ac:dyDescent="0.25">
      <c r="A4" s="22"/>
      <c r="B4" s="23"/>
      <c r="C4" s="16"/>
      <c r="D4" s="24"/>
      <c r="E4" s="25"/>
      <c r="G4" s="22"/>
      <c r="H4" s="23"/>
      <c r="I4" s="16"/>
      <c r="J4" s="24"/>
      <c r="K4" s="25"/>
      <c r="P4" s="1" t="s">
        <v>27</v>
      </c>
      <c r="Q4" s="31" t="s">
        <v>28</v>
      </c>
      <c r="R4" s="31"/>
      <c r="S4" s="31"/>
    </row>
    <row r="5" spans="1:26" ht="16.5" customHeight="1" x14ac:dyDescent="0.25">
      <c r="A5" s="22"/>
      <c r="B5" s="23"/>
      <c r="C5" s="16"/>
      <c r="D5" s="26" t="str">
        <f ca="1">V10</f>
        <v>88/A,South Stree,Korkai
88/A,South Stree,Korkai,88/A,South Stree,Korkai</v>
      </c>
      <c r="E5" s="27"/>
      <c r="G5" s="22"/>
      <c r="H5" s="23"/>
      <c r="I5" s="16"/>
      <c r="J5" s="26" t="str">
        <f ca="1">V11</f>
        <v>Vinayagar Kovil Street,Thirumeniyar kovil (P.o)Kadalangudi
Vinayagar Kovil Street,Thirumeniyar kovil (P.o)Kadalangudi,Vinayagar Kovil Street,Thirumeniyar kovil (P.o)Kadalangudi</v>
      </c>
      <c r="K5" s="27"/>
    </row>
    <row r="6" spans="1:26" ht="16.5" customHeight="1" x14ac:dyDescent="0.25">
      <c r="A6" s="22"/>
      <c r="B6" s="23"/>
      <c r="C6" s="16"/>
      <c r="D6" s="28">
        <f ca="1">W10</f>
        <v>191</v>
      </c>
      <c r="E6" s="29"/>
      <c r="G6" s="22"/>
      <c r="H6" s="23"/>
      <c r="I6" s="16"/>
      <c r="J6" s="28">
        <f ca="1">W11</f>
        <v>191</v>
      </c>
      <c r="K6" s="29"/>
      <c r="P6" s="32" t="s">
        <v>6</v>
      </c>
      <c r="Q6" s="33">
        <v>1</v>
      </c>
      <c r="R6" s="35" t="s">
        <v>7</v>
      </c>
      <c r="S6" s="36">
        <f ca="1">CEILING(TotalRows/RowsPerPage,1)</f>
        <v>22981</v>
      </c>
    </row>
    <row r="7" spans="1:26" x14ac:dyDescent="0.25">
      <c r="A7" s="15"/>
      <c r="B7" s="16"/>
      <c r="C7" s="16"/>
      <c r="D7" s="16"/>
      <c r="E7" s="17"/>
      <c r="G7" s="15"/>
      <c r="H7" s="16"/>
      <c r="I7" s="16"/>
      <c r="J7" s="16"/>
      <c r="K7" s="17"/>
      <c r="P7" s="32"/>
      <c r="Q7" s="34"/>
      <c r="R7" s="35"/>
      <c r="S7" s="36"/>
    </row>
    <row r="8" spans="1:26" x14ac:dyDescent="0.25">
      <c r="A8" s="15"/>
      <c r="B8" s="16"/>
      <c r="C8" s="16"/>
      <c r="D8" s="16"/>
      <c r="E8" s="17"/>
      <c r="G8" s="15"/>
      <c r="H8" s="16"/>
      <c r="I8" s="16"/>
      <c r="J8" s="16"/>
      <c r="K8" s="17"/>
    </row>
    <row r="9" spans="1:26" x14ac:dyDescent="0.25">
      <c r="A9" s="18">
        <f ca="1">X10</f>
        <v>41816</v>
      </c>
      <c r="B9" s="19"/>
      <c r="C9" s="16"/>
      <c r="D9" s="16"/>
      <c r="E9" s="17"/>
      <c r="G9" s="18">
        <f ca="1">X11</f>
        <v>41816</v>
      </c>
      <c r="H9" s="30"/>
      <c r="I9" s="16"/>
      <c r="J9" s="16"/>
      <c r="K9" s="17"/>
      <c r="O9" s="9" t="s">
        <v>0</v>
      </c>
      <c r="P9" s="9" t="s">
        <v>2</v>
      </c>
      <c r="Q9" s="9" t="s">
        <v>8</v>
      </c>
      <c r="R9" s="9" t="s">
        <v>9</v>
      </c>
      <c r="S9" s="9" t="s">
        <v>1</v>
      </c>
      <c r="T9" s="9" t="s">
        <v>10</v>
      </c>
      <c r="U9" s="9" t="s">
        <v>11</v>
      </c>
      <c r="V9" s="9" t="s">
        <v>12</v>
      </c>
      <c r="W9" s="9" t="s">
        <v>13</v>
      </c>
      <c r="X9" s="9" t="s">
        <v>14</v>
      </c>
      <c r="Y9" s="9" t="s">
        <v>17</v>
      </c>
      <c r="Z9" s="9" t="s">
        <v>26</v>
      </c>
    </row>
    <row r="10" spans="1:26" ht="21" customHeight="1" x14ac:dyDescent="0.25">
      <c r="A10" s="12"/>
      <c r="B10" s="13"/>
      <c r="C10" s="13"/>
      <c r="D10" s="13"/>
      <c r="E10" s="14"/>
      <c r="G10" s="12"/>
      <c r="H10" s="13"/>
      <c r="I10" s="13"/>
      <c r="J10" s="13"/>
      <c r="K10" s="14"/>
      <c r="O10" s="9">
        <f t="shared" ref="O10:O17" si="0">(PageToPrint-1) * RowsPerPage + (ROW()-9)</f>
        <v>1</v>
      </c>
      <c r="P10" s="10" t="str">
        <f t="shared" ref="P10:P17" ca="1" si="1">OFFSET(INDIRECT(DynamicFileName &amp; "C1"),$O10,0)</f>
        <v>VIII</v>
      </c>
      <c r="Q10" s="10" t="str">
        <f t="shared" ref="Q10:Q17" ca="1" si="2">OFFSET(INDIRECT(DynamicFileName &amp; "D1"),$O10,0)</f>
        <v>A</v>
      </c>
      <c r="R10" s="10">
        <f t="shared" ref="R10:R17" ca="1" si="3">OFFSET(INDIRECT(DynamicFileName &amp; "O1"),$O10,0)</f>
        <v>1</v>
      </c>
      <c r="S10" s="10" t="str">
        <f t="shared" ref="S10:S17" ca="1" si="4">OFFSET(INDIRECT(DynamicFileName &amp; "G1"),$O10,0)</f>
        <v>NAVIN.K</v>
      </c>
      <c r="T10" s="10" t="str">
        <f t="shared" ref="T10:T17" ca="1" si="5">OFFSET(INDIRECT(DynamicFileName &amp; "K1"),$O10,0)</f>
        <v>KORKAI</v>
      </c>
      <c r="U10" s="10" t="str">
        <f t="shared" ref="U10:U17" ca="1" si="6">OFFSET(INDIRECT(DynamicFileName &amp; "L1"),$O10,0)</f>
        <v>NIDUR</v>
      </c>
      <c r="V10" s="10" t="str">
        <f t="shared" ref="V10:V17" ca="1" si="7">OFFSET(INDIRECT(DynamicFileName &amp; "H1"),$O10,0) &amp; CHAR(10) &amp; OFFSET(INDIRECT(DynamicFileName &amp; "I1"),$O10,0) &amp; "," &amp; OFFSET(INDIRECT(DynamicFileName &amp; "J1"),$O10,0)</f>
        <v>88/A,South Stree,Korkai
88/A,South Stree,Korkai,88/A,South Stree,Korkai</v>
      </c>
      <c r="W10" s="10">
        <f t="shared" ref="W10:W17" ca="1" si="8">OFFSET(INDIRECT(DynamicFileName &amp; "B1"),$O10,0)</f>
        <v>191</v>
      </c>
      <c r="X10" s="11">
        <f t="shared" ref="X10:X17" ca="1" si="9">OFFSET(INDIRECT(DynamicFileName &amp; "P1"),$O10,0)</f>
        <v>41816</v>
      </c>
      <c r="Y10" s="10" t="str">
        <f t="shared" ref="Y10:Y17" ca="1" si="10">OFFSET(INDIRECT(DynamicFileName &amp; "B1"),$O10,0) &amp; "-" &amp; OFFSET(INDIRECT(DynamicFileName &amp; "E1"),$O10,0) &amp; ".jpg"</f>
        <v>191-1.jpg</v>
      </c>
      <c r="Z10" s="10" t="s">
        <v>18</v>
      </c>
    </row>
    <row r="11" spans="1:26" ht="15" customHeight="1" x14ac:dyDescent="0.25">
      <c r="B11" s="4"/>
      <c r="C11" s="4"/>
      <c r="D11" s="4"/>
      <c r="E11" s="4"/>
      <c r="H11" s="4"/>
      <c r="I11" s="4"/>
      <c r="J11" s="4"/>
      <c r="K11" s="4"/>
      <c r="O11" s="9">
        <f t="shared" si="0"/>
        <v>2</v>
      </c>
      <c r="P11" s="10" t="str">
        <f t="shared" ca="1" si="1"/>
        <v>VII</v>
      </c>
      <c r="Q11" s="10" t="str">
        <f t="shared" ca="1" si="2"/>
        <v>A</v>
      </c>
      <c r="R11" s="10">
        <f t="shared" ca="1" si="3"/>
        <v>2</v>
      </c>
      <c r="S11" s="10" t="str">
        <f t="shared" ca="1" si="4"/>
        <v>SURESH.K</v>
      </c>
      <c r="T11" s="10" t="str">
        <f t="shared" ca="1" si="5"/>
        <v>KADALANGUDI</v>
      </c>
      <c r="U11" s="10" t="str">
        <f t="shared" ca="1" si="6"/>
        <v>NIDUR</v>
      </c>
      <c r="V11" s="10" t="str">
        <f t="shared" ca="1" si="7"/>
        <v>Vinayagar Kovil Street,Thirumeniyar kovil (P.o)Kadalangudi
Vinayagar Kovil Street,Thirumeniyar kovil (P.o)Kadalangudi,Vinayagar Kovil Street,Thirumeniyar kovil (P.o)Kadalangudi</v>
      </c>
      <c r="W11" s="10">
        <f t="shared" ca="1" si="8"/>
        <v>191</v>
      </c>
      <c r="X11" s="11">
        <f t="shared" ca="1" si="9"/>
        <v>41816</v>
      </c>
      <c r="Y11" s="10" t="str">
        <f t="shared" ca="1" si="10"/>
        <v>191-2.jpg</v>
      </c>
      <c r="Z11" s="10" t="s">
        <v>19</v>
      </c>
    </row>
    <row r="12" spans="1:26" ht="18" customHeight="1" x14ac:dyDescent="0.25">
      <c r="A12" s="20"/>
      <c r="B12" s="21"/>
      <c r="C12" s="7" t="str">
        <f ca="1">P12 &amp; "-" &amp; Q12</f>
        <v>V-A</v>
      </c>
      <c r="D12" s="7"/>
      <c r="E12" s="8">
        <f ca="1">R12</f>
        <v>3</v>
      </c>
      <c r="G12" s="20"/>
      <c r="H12" s="21"/>
      <c r="I12" s="7" t="str">
        <f ca="1">P13 &amp; "-" &amp; Q13</f>
        <v>IX-A</v>
      </c>
      <c r="J12" s="7"/>
      <c r="K12" s="8">
        <f ca="1">R13</f>
        <v>4</v>
      </c>
      <c r="O12" s="9">
        <f t="shared" si="0"/>
        <v>3</v>
      </c>
      <c r="P12" s="10" t="str">
        <f t="shared" ca="1" si="1"/>
        <v>V</v>
      </c>
      <c r="Q12" s="10" t="str">
        <f t="shared" ca="1" si="2"/>
        <v>A</v>
      </c>
      <c r="R12" s="10">
        <f t="shared" ca="1" si="3"/>
        <v>3</v>
      </c>
      <c r="S12" s="10" t="str">
        <f t="shared" ca="1" si="4"/>
        <v>SRIRAM.R</v>
      </c>
      <c r="T12" s="10" t="str">
        <f t="shared" ca="1" si="5"/>
        <v>THALAIGNAYAR</v>
      </c>
      <c r="U12" s="10" t="str">
        <f t="shared" ca="1" si="6"/>
        <v>NIDUR</v>
      </c>
      <c r="V12" s="10" t="str">
        <f t="shared" ca="1" si="7"/>
        <v>East Street,Thalainayar
East Street,Thalainayar,East Street,Thalainayar</v>
      </c>
      <c r="W12" s="10">
        <f t="shared" ca="1" si="8"/>
        <v>191</v>
      </c>
      <c r="X12" s="11">
        <f t="shared" ca="1" si="9"/>
        <v>41816</v>
      </c>
      <c r="Y12" s="10" t="str">
        <f t="shared" ca="1" si="10"/>
        <v>191-3.jpg</v>
      </c>
      <c r="Z12" s="10" t="s">
        <v>20</v>
      </c>
    </row>
    <row r="13" spans="1:26" ht="18.75" customHeight="1" x14ac:dyDescent="0.25">
      <c r="A13" s="3"/>
      <c r="B13" s="16" t="str">
        <f ca="1">S12</f>
        <v>SRIRAM.R</v>
      </c>
      <c r="C13" s="16"/>
      <c r="D13" s="16"/>
      <c r="E13" s="17"/>
      <c r="G13" s="3"/>
      <c r="H13" s="16" t="str">
        <f ca="1">S13</f>
        <v>SARATH.J</v>
      </c>
      <c r="I13" s="16"/>
      <c r="J13" s="16"/>
      <c r="K13" s="17"/>
      <c r="O13" s="9">
        <f t="shared" si="0"/>
        <v>4</v>
      </c>
      <c r="P13" s="10" t="str">
        <f t="shared" ca="1" si="1"/>
        <v>IX</v>
      </c>
      <c r="Q13" s="10" t="str">
        <f t="shared" ca="1" si="2"/>
        <v>A</v>
      </c>
      <c r="R13" s="10">
        <f t="shared" ca="1" si="3"/>
        <v>4</v>
      </c>
      <c r="S13" s="10" t="str">
        <f t="shared" ca="1" si="4"/>
        <v>SARATH.J</v>
      </c>
      <c r="T13" s="10" t="str">
        <f t="shared" ca="1" si="5"/>
        <v>VARATHAMPATTU</v>
      </c>
      <c r="U13" s="10" t="str">
        <f t="shared" ca="1" si="6"/>
        <v>NIDUR</v>
      </c>
      <c r="V13" s="10" t="str">
        <f t="shared" ca="1" si="7"/>
        <v>Varadampattu,Thiruvalaputhur
Varadampattu,Thiruvalaputhur,Varadampattu,Thiruvalaputhur</v>
      </c>
      <c r="W13" s="10">
        <f t="shared" ca="1" si="8"/>
        <v>191</v>
      </c>
      <c r="X13" s="11">
        <f t="shared" ca="1" si="9"/>
        <v>41816</v>
      </c>
      <c r="Y13" s="10" t="str">
        <f t="shared" ca="1" si="10"/>
        <v>191-4.jpg</v>
      </c>
      <c r="Z13" s="10" t="s">
        <v>21</v>
      </c>
    </row>
    <row r="14" spans="1:26" ht="16.5" customHeight="1" x14ac:dyDescent="0.25">
      <c r="A14" s="22" t="s">
        <v>16</v>
      </c>
      <c r="B14" s="23"/>
      <c r="C14" s="16"/>
      <c r="D14" s="24" t="str">
        <f ca="1">T12 &amp; CHAR(10) &amp; "TO" &amp; CHAR(10) &amp; U12</f>
        <v>THALAIGNAYAR
TO
NIDUR</v>
      </c>
      <c r="E14" s="25"/>
      <c r="G14" s="22" t="s">
        <v>16</v>
      </c>
      <c r="H14" s="23"/>
      <c r="I14" s="16"/>
      <c r="J14" s="24" t="str">
        <f ca="1">T13 &amp; CHAR(10) &amp; "TO" &amp; CHAR(10) &amp; U13</f>
        <v>VARATHAMPATTU
TO
NIDUR</v>
      </c>
      <c r="K14" s="25"/>
      <c r="O14" s="9">
        <f t="shared" si="0"/>
        <v>5</v>
      </c>
      <c r="P14" s="10" t="str">
        <f t="shared" ca="1" si="1"/>
        <v>IX</v>
      </c>
      <c r="Q14" s="10" t="str">
        <f t="shared" ca="1" si="2"/>
        <v>A</v>
      </c>
      <c r="R14" s="10">
        <f t="shared" ca="1" si="3"/>
        <v>5</v>
      </c>
      <c r="S14" s="10" t="str">
        <f t="shared" ca="1" si="4"/>
        <v>ABDUL FAHADU.A</v>
      </c>
      <c r="T14" s="10" t="str">
        <f t="shared" ca="1" si="5"/>
        <v>KADALANGUDI</v>
      </c>
      <c r="U14" s="10" t="str">
        <f t="shared" ca="1" si="6"/>
        <v>NIDUR</v>
      </c>
      <c r="V14" s="10" t="str">
        <f t="shared" ca="1" si="7"/>
        <v>Main Road,Kadalangudi
Main Road,Kadalangudi,Main Road,Kadalangudi</v>
      </c>
      <c r="W14" s="10">
        <f t="shared" ca="1" si="8"/>
        <v>191</v>
      </c>
      <c r="X14" s="11">
        <f t="shared" ca="1" si="9"/>
        <v>41816</v>
      </c>
      <c r="Y14" s="10" t="str">
        <f t="shared" ca="1" si="10"/>
        <v>191-5.jpg</v>
      </c>
      <c r="Z14" s="10" t="s">
        <v>22</v>
      </c>
    </row>
    <row r="15" spans="1:26" ht="16.5" customHeight="1" x14ac:dyDescent="0.25">
      <c r="A15" s="22"/>
      <c r="B15" s="23"/>
      <c r="C15" s="16"/>
      <c r="D15" s="24"/>
      <c r="E15" s="25"/>
      <c r="G15" s="22"/>
      <c r="H15" s="23"/>
      <c r="I15" s="16"/>
      <c r="J15" s="24"/>
      <c r="K15" s="25"/>
      <c r="O15" s="9">
        <f t="shared" si="0"/>
        <v>6</v>
      </c>
      <c r="P15" s="10" t="str">
        <f t="shared" ca="1" si="1"/>
        <v>VIII</v>
      </c>
      <c r="Q15" s="10" t="str">
        <f t="shared" ca="1" si="2"/>
        <v>A</v>
      </c>
      <c r="R15" s="10">
        <f t="shared" ca="1" si="3"/>
        <v>6</v>
      </c>
      <c r="S15" s="10" t="str">
        <f t="shared" ca="1" si="4"/>
        <v>SALMAN KHAN.A</v>
      </c>
      <c r="T15" s="10" t="str">
        <f t="shared" ca="1" si="5"/>
        <v>KADALANGUDI</v>
      </c>
      <c r="U15" s="10" t="str">
        <f t="shared" ca="1" si="6"/>
        <v>NIDUR</v>
      </c>
      <c r="V15" s="10" t="str">
        <f t="shared" ca="1" si="7"/>
        <v>2/105,New Street,Kadalangudi
2/105,New Street,Kadalangudi,2/105,New Street,Kadalangudi</v>
      </c>
      <c r="W15" s="10">
        <f t="shared" ca="1" si="8"/>
        <v>191</v>
      </c>
      <c r="X15" s="11">
        <f t="shared" ca="1" si="9"/>
        <v>41816</v>
      </c>
      <c r="Y15" s="10" t="str">
        <f t="shared" ca="1" si="10"/>
        <v>191-6.jpg</v>
      </c>
      <c r="Z15" s="10" t="s">
        <v>23</v>
      </c>
    </row>
    <row r="16" spans="1:26" ht="16.5" customHeight="1" x14ac:dyDescent="0.25">
      <c r="A16" s="22"/>
      <c r="B16" s="23"/>
      <c r="C16" s="16"/>
      <c r="D16" s="26" t="str">
        <f ca="1">V12</f>
        <v>East Street,Thalainayar
East Street,Thalainayar,East Street,Thalainayar</v>
      </c>
      <c r="E16" s="27"/>
      <c r="G16" s="22"/>
      <c r="H16" s="23"/>
      <c r="I16" s="16"/>
      <c r="J16" s="26" t="str">
        <f ca="1">V13</f>
        <v>Varadampattu,Thiruvalaputhur
Varadampattu,Thiruvalaputhur,Varadampattu,Thiruvalaputhur</v>
      </c>
      <c r="K16" s="27"/>
      <c r="O16" s="9">
        <f t="shared" si="0"/>
        <v>7</v>
      </c>
      <c r="P16" s="10" t="str">
        <f t="shared" ca="1" si="1"/>
        <v>VIII</v>
      </c>
      <c r="Q16" s="10" t="str">
        <f t="shared" ca="1" si="2"/>
        <v>A</v>
      </c>
      <c r="R16" s="10">
        <f t="shared" ca="1" si="3"/>
        <v>7</v>
      </c>
      <c r="S16" s="10" t="str">
        <f t="shared" ca="1" si="4"/>
        <v>AMJITH KHAN.S</v>
      </c>
      <c r="T16" s="10" t="str">
        <f t="shared" ca="1" si="5"/>
        <v>MANALMEDU</v>
      </c>
      <c r="U16" s="10" t="str">
        <f t="shared" ca="1" si="6"/>
        <v>NIDUR</v>
      </c>
      <c r="V16" s="10" t="str">
        <f t="shared" ca="1" si="7"/>
        <v>51/22A,Main Road,Manalmedu
51/22A,Main Road,Manalmedu,51/22A,Main Road,Manalmedu</v>
      </c>
      <c r="W16" s="10">
        <f t="shared" ca="1" si="8"/>
        <v>191</v>
      </c>
      <c r="X16" s="11">
        <f t="shared" ca="1" si="9"/>
        <v>41816</v>
      </c>
      <c r="Y16" s="10" t="str">
        <f t="shared" ca="1" si="10"/>
        <v>191-7.jpg</v>
      </c>
      <c r="Z16" s="10" t="s">
        <v>24</v>
      </c>
    </row>
    <row r="17" spans="1:26" ht="16.5" customHeight="1" x14ac:dyDescent="0.25">
      <c r="A17" s="22"/>
      <c r="B17" s="23"/>
      <c r="C17" s="16"/>
      <c r="D17" s="28">
        <f ca="1">W12</f>
        <v>191</v>
      </c>
      <c r="E17" s="29"/>
      <c r="G17" s="22"/>
      <c r="H17" s="23"/>
      <c r="I17" s="16"/>
      <c r="J17" s="28">
        <f ca="1">W13</f>
        <v>191</v>
      </c>
      <c r="K17" s="29"/>
      <c r="O17" s="9">
        <f t="shared" si="0"/>
        <v>8</v>
      </c>
      <c r="P17" s="10" t="str">
        <f t="shared" ca="1" si="1"/>
        <v>VIII</v>
      </c>
      <c r="Q17" s="10" t="str">
        <f t="shared" ca="1" si="2"/>
        <v>A</v>
      </c>
      <c r="R17" s="10">
        <f t="shared" ca="1" si="3"/>
        <v>8</v>
      </c>
      <c r="S17" s="10" t="str">
        <f t="shared" ca="1" si="4"/>
        <v>ARSHATH KHAN.E</v>
      </c>
      <c r="T17" s="10" t="str">
        <f t="shared" ca="1" si="5"/>
        <v>KADALANGUDI</v>
      </c>
      <c r="U17" s="10" t="str">
        <f t="shared" ca="1" si="6"/>
        <v>NIDUR</v>
      </c>
      <c r="V17" s="10" t="str">
        <f t="shared" ca="1" si="7"/>
        <v>2/282,Vinayagar Street,Kadalangudi
2/282,Vinayagar Street,Kadalangudi,2/282,Vinayagar Street,Kadalangudi</v>
      </c>
      <c r="W17" s="10">
        <f t="shared" ca="1" si="8"/>
        <v>191</v>
      </c>
      <c r="X17" s="11">
        <f t="shared" ca="1" si="9"/>
        <v>41816</v>
      </c>
      <c r="Y17" s="10" t="str">
        <f t="shared" ca="1" si="10"/>
        <v>191-8.jpg</v>
      </c>
      <c r="Z17" s="10" t="s">
        <v>25</v>
      </c>
    </row>
    <row r="18" spans="1:26" x14ac:dyDescent="0.25">
      <c r="A18" s="15"/>
      <c r="B18" s="16"/>
      <c r="C18" s="16"/>
      <c r="D18" s="16"/>
      <c r="E18" s="17"/>
      <c r="G18" s="15"/>
      <c r="H18" s="16"/>
      <c r="I18" s="16"/>
      <c r="J18" s="16"/>
      <c r="K18" s="17"/>
    </row>
    <row r="19" spans="1:26" x14ac:dyDescent="0.25">
      <c r="A19" s="15"/>
      <c r="B19" s="16"/>
      <c r="C19" s="16"/>
      <c r="D19" s="16"/>
      <c r="E19" s="17"/>
      <c r="G19" s="15"/>
      <c r="H19" s="16"/>
      <c r="I19" s="16"/>
      <c r="J19" s="16"/>
      <c r="K19" s="17"/>
    </row>
    <row r="20" spans="1:26" x14ac:dyDescent="0.25">
      <c r="A20" s="18">
        <f ca="1">X12</f>
        <v>41816</v>
      </c>
      <c r="B20" s="30"/>
      <c r="C20" s="16"/>
      <c r="D20" s="16"/>
      <c r="E20" s="17"/>
      <c r="G20" s="18">
        <f ca="1">X13</f>
        <v>41816</v>
      </c>
      <c r="H20" s="30"/>
      <c r="I20" s="16"/>
      <c r="J20" s="16"/>
      <c r="K20" s="17"/>
    </row>
    <row r="21" spans="1:26" ht="21" customHeight="1" x14ac:dyDescent="0.25">
      <c r="A21" s="12"/>
      <c r="B21" s="13"/>
      <c r="C21" s="13"/>
      <c r="D21" s="13"/>
      <c r="E21" s="14"/>
      <c r="G21" s="12"/>
      <c r="H21" s="13"/>
      <c r="I21" s="13"/>
      <c r="J21" s="13"/>
      <c r="K21" s="14"/>
    </row>
    <row r="22" spans="1:26" ht="15" customHeight="1" x14ac:dyDescent="0.25">
      <c r="B22" s="4"/>
      <c r="C22" s="4"/>
      <c r="D22" s="4"/>
      <c r="E22" s="4"/>
      <c r="H22" s="4"/>
      <c r="I22" s="4"/>
      <c r="J22" s="4"/>
      <c r="K22" s="4"/>
    </row>
    <row r="23" spans="1:26" ht="18" customHeight="1" x14ac:dyDescent="0.25">
      <c r="A23" s="20"/>
      <c r="B23" s="21"/>
      <c r="C23" s="7" t="str">
        <f ca="1">P14 &amp; "-" &amp; Q14</f>
        <v>IX-A</v>
      </c>
      <c r="D23" s="7"/>
      <c r="E23" s="8">
        <f ca="1">R14</f>
        <v>5</v>
      </c>
      <c r="G23" s="20"/>
      <c r="H23" s="21"/>
      <c r="I23" s="7" t="str">
        <f ca="1">P15 &amp; "-" &amp; Q15</f>
        <v>VIII-A</v>
      </c>
      <c r="J23" s="7"/>
      <c r="K23" s="8">
        <f ca="1">R15</f>
        <v>6</v>
      </c>
      <c r="O23"/>
      <c r="P23"/>
      <c r="Q23"/>
      <c r="R23"/>
      <c r="S23"/>
      <c r="T23"/>
      <c r="U23"/>
      <c r="V23"/>
      <c r="W23"/>
      <c r="X23"/>
    </row>
    <row r="24" spans="1:26" ht="18.75" customHeight="1" x14ac:dyDescent="0.25">
      <c r="A24" s="3"/>
      <c r="B24" s="16" t="str">
        <f ca="1">S14</f>
        <v>ABDUL FAHADU.A</v>
      </c>
      <c r="C24" s="16"/>
      <c r="D24" s="16"/>
      <c r="E24" s="17"/>
      <c r="G24" s="3"/>
      <c r="H24" s="16" t="str">
        <f ca="1">S15</f>
        <v>SALMAN KHAN.A</v>
      </c>
      <c r="I24" s="16"/>
      <c r="J24" s="16"/>
      <c r="K24" s="17"/>
      <c r="O24"/>
      <c r="P24"/>
      <c r="Q24"/>
      <c r="R24"/>
      <c r="S24"/>
      <c r="T24"/>
      <c r="U24"/>
      <c r="V24"/>
      <c r="W24"/>
      <c r="X24"/>
    </row>
    <row r="25" spans="1:26" ht="16.5" customHeight="1" x14ac:dyDescent="0.25">
      <c r="A25" s="22" t="s">
        <v>16</v>
      </c>
      <c r="B25" s="23"/>
      <c r="C25" s="16"/>
      <c r="D25" s="24" t="str">
        <f ca="1">T14 &amp; CHAR(10) &amp; "TO" &amp; CHAR(10) &amp; U14</f>
        <v>KADALANGUDI
TO
NIDUR</v>
      </c>
      <c r="E25" s="25"/>
      <c r="G25" s="22" t="s">
        <v>16</v>
      </c>
      <c r="H25" s="23"/>
      <c r="I25" s="16"/>
      <c r="J25" s="24" t="str">
        <f ca="1">T15 &amp; CHAR(10) &amp; "TO" &amp; CHAR(10) &amp; U15</f>
        <v>KADALANGUDI
TO
NIDUR</v>
      </c>
      <c r="K25" s="25"/>
      <c r="O25"/>
      <c r="P25"/>
      <c r="Q25"/>
      <c r="R25"/>
      <c r="S25"/>
      <c r="T25"/>
      <c r="U25"/>
      <c r="V25"/>
      <c r="W25"/>
      <c r="X25"/>
    </row>
    <row r="26" spans="1:26" ht="16.5" customHeight="1" x14ac:dyDescent="0.25">
      <c r="A26" s="22"/>
      <c r="B26" s="23"/>
      <c r="C26" s="16"/>
      <c r="D26" s="24"/>
      <c r="E26" s="25"/>
      <c r="G26" s="22"/>
      <c r="H26" s="23"/>
      <c r="I26" s="16"/>
      <c r="J26" s="24"/>
      <c r="K26" s="25"/>
      <c r="O26"/>
      <c r="P26"/>
      <c r="Q26"/>
      <c r="R26"/>
      <c r="S26"/>
      <c r="T26"/>
      <c r="U26"/>
      <c r="V26"/>
      <c r="W26"/>
      <c r="X26"/>
    </row>
    <row r="27" spans="1:26" ht="16.5" customHeight="1" x14ac:dyDescent="0.25">
      <c r="A27" s="22"/>
      <c r="B27" s="23"/>
      <c r="C27" s="16"/>
      <c r="D27" s="26" t="str">
        <f ca="1">V14</f>
        <v>Main Road,Kadalangudi
Main Road,Kadalangudi,Main Road,Kadalangudi</v>
      </c>
      <c r="E27" s="27"/>
      <c r="G27" s="22"/>
      <c r="H27" s="23"/>
      <c r="I27" s="16"/>
      <c r="J27" s="26" t="str">
        <f ca="1">V15</f>
        <v>2/105,New Street,Kadalangudi
2/105,New Street,Kadalangudi,2/105,New Street,Kadalangudi</v>
      </c>
      <c r="K27" s="27"/>
      <c r="O27"/>
      <c r="P27"/>
      <c r="Q27"/>
      <c r="R27"/>
      <c r="S27"/>
      <c r="T27"/>
      <c r="U27"/>
      <c r="V27"/>
      <c r="W27"/>
      <c r="X27"/>
    </row>
    <row r="28" spans="1:26" ht="16.5" customHeight="1" x14ac:dyDescent="0.25">
      <c r="A28" s="22"/>
      <c r="B28" s="23"/>
      <c r="C28" s="16"/>
      <c r="D28" s="28">
        <f ca="1">W14</f>
        <v>191</v>
      </c>
      <c r="E28" s="29"/>
      <c r="G28" s="22"/>
      <c r="H28" s="23"/>
      <c r="I28" s="16"/>
      <c r="J28" s="28">
        <f ca="1">W15</f>
        <v>191</v>
      </c>
      <c r="K28" s="29"/>
      <c r="O28"/>
      <c r="P28"/>
      <c r="Q28"/>
      <c r="R28"/>
      <c r="S28"/>
      <c r="T28"/>
      <c r="U28"/>
      <c r="V28"/>
      <c r="W28"/>
      <c r="X28"/>
    </row>
    <row r="29" spans="1:26" x14ac:dyDescent="0.25">
      <c r="A29" s="15"/>
      <c r="B29" s="16"/>
      <c r="C29" s="16"/>
      <c r="D29" s="16"/>
      <c r="E29" s="17"/>
      <c r="G29" s="15"/>
      <c r="H29" s="16"/>
      <c r="I29" s="16"/>
      <c r="J29" s="16"/>
      <c r="K29" s="17"/>
    </row>
    <row r="30" spans="1:26" x14ac:dyDescent="0.25">
      <c r="A30" s="15"/>
      <c r="B30" s="16"/>
      <c r="C30" s="16"/>
      <c r="D30" s="16"/>
      <c r="E30" s="17"/>
      <c r="G30" s="15"/>
      <c r="H30" s="16"/>
      <c r="I30" s="16"/>
      <c r="J30" s="16"/>
      <c r="K30" s="17"/>
    </row>
    <row r="31" spans="1:26" x14ac:dyDescent="0.25">
      <c r="A31" s="18">
        <f ca="1">X14</f>
        <v>41816</v>
      </c>
      <c r="B31" s="30"/>
      <c r="C31" s="16"/>
      <c r="D31" s="16"/>
      <c r="E31" s="17"/>
      <c r="G31" s="18">
        <f ca="1">X15</f>
        <v>41816</v>
      </c>
      <c r="H31" s="30"/>
      <c r="I31" s="16"/>
      <c r="J31" s="16"/>
      <c r="K31" s="17"/>
    </row>
    <row r="32" spans="1:26" ht="21" customHeight="1" x14ac:dyDescent="0.25">
      <c r="A32" s="12"/>
      <c r="B32" s="13"/>
      <c r="C32" s="13"/>
      <c r="D32" s="13"/>
      <c r="E32" s="14"/>
      <c r="G32" s="12"/>
      <c r="H32" s="13"/>
      <c r="I32" s="13"/>
      <c r="J32" s="13"/>
      <c r="K32" s="14"/>
    </row>
    <row r="33" spans="1:24" ht="15" customHeight="1" x14ac:dyDescent="0.25">
      <c r="B33" s="4"/>
      <c r="C33" s="4"/>
      <c r="D33" s="4"/>
      <c r="E33" s="4"/>
      <c r="H33" s="4"/>
      <c r="I33" s="4"/>
      <c r="J33" s="4"/>
      <c r="K33" s="4"/>
    </row>
    <row r="34" spans="1:24" ht="18" customHeight="1" x14ac:dyDescent="0.25">
      <c r="A34" s="20"/>
      <c r="B34" s="21"/>
      <c r="C34" s="7" t="str">
        <f ca="1">P16 &amp; "-" &amp; Q16</f>
        <v>VIII-A</v>
      </c>
      <c r="D34" s="7"/>
      <c r="E34" s="8">
        <f ca="1">R16</f>
        <v>7</v>
      </c>
      <c r="G34" s="20"/>
      <c r="H34" s="21"/>
      <c r="I34" s="7" t="str">
        <f ca="1">P17 &amp; "-" &amp; Q17</f>
        <v>VIII-A</v>
      </c>
      <c r="J34" s="7"/>
      <c r="K34" s="8">
        <f ca="1">R17</f>
        <v>8</v>
      </c>
      <c r="O34"/>
      <c r="P34"/>
      <c r="Q34"/>
      <c r="R34"/>
      <c r="S34"/>
      <c r="T34"/>
      <c r="U34"/>
      <c r="V34"/>
      <c r="W34"/>
      <c r="X34"/>
    </row>
    <row r="35" spans="1:24" ht="18.75" customHeight="1" x14ac:dyDescent="0.25">
      <c r="A35" s="3"/>
      <c r="B35" s="16" t="str">
        <f ca="1">S16</f>
        <v>AMJITH KHAN.S</v>
      </c>
      <c r="C35" s="16"/>
      <c r="D35" s="16"/>
      <c r="E35" s="17"/>
      <c r="G35" s="3"/>
      <c r="H35" s="16" t="str">
        <f ca="1">S17</f>
        <v>ARSHATH KHAN.E</v>
      </c>
      <c r="I35" s="16"/>
      <c r="J35" s="16"/>
      <c r="K35" s="17"/>
      <c r="O35"/>
      <c r="P35"/>
      <c r="Q35"/>
      <c r="R35"/>
      <c r="S35"/>
      <c r="T35"/>
      <c r="U35"/>
      <c r="V35"/>
      <c r="W35"/>
      <c r="X35"/>
    </row>
    <row r="36" spans="1:24" ht="16.5" customHeight="1" x14ac:dyDescent="0.25">
      <c r="A36" s="22" t="s">
        <v>16</v>
      </c>
      <c r="B36" s="23"/>
      <c r="C36" s="16"/>
      <c r="D36" s="24" t="str">
        <f ca="1">T16 &amp; CHAR(10) &amp; "TO" &amp; CHAR(10) &amp; U16</f>
        <v>MANALMEDU
TO
NIDUR</v>
      </c>
      <c r="E36" s="25"/>
      <c r="G36" s="22" t="s">
        <v>16</v>
      </c>
      <c r="H36" s="23"/>
      <c r="I36" s="16"/>
      <c r="J36" s="24" t="str">
        <f ca="1">T17 &amp; CHAR(10) &amp; "TO" &amp; CHAR(10) &amp; U17</f>
        <v>KADALANGUDI
TO
NIDUR</v>
      </c>
      <c r="K36" s="25"/>
      <c r="O36"/>
      <c r="P36"/>
      <c r="Q36"/>
      <c r="R36"/>
      <c r="S36"/>
      <c r="T36"/>
      <c r="U36"/>
      <c r="V36"/>
      <c r="W36"/>
      <c r="X36"/>
    </row>
    <row r="37" spans="1:24" ht="16.5" customHeight="1" x14ac:dyDescent="0.25">
      <c r="A37" s="22"/>
      <c r="B37" s="23"/>
      <c r="C37" s="16"/>
      <c r="D37" s="24"/>
      <c r="E37" s="25"/>
      <c r="G37" s="22"/>
      <c r="H37" s="23"/>
      <c r="I37" s="16"/>
      <c r="J37" s="24"/>
      <c r="K37" s="25"/>
      <c r="O37"/>
      <c r="P37"/>
      <c r="Q37"/>
      <c r="R37"/>
      <c r="S37"/>
      <c r="T37"/>
      <c r="U37"/>
      <c r="V37"/>
      <c r="W37"/>
      <c r="X37"/>
    </row>
    <row r="38" spans="1:24" ht="16.5" customHeight="1" x14ac:dyDescent="0.25">
      <c r="A38" s="22"/>
      <c r="B38" s="23"/>
      <c r="C38" s="16"/>
      <c r="D38" s="26" t="str">
        <f ca="1">V16</f>
        <v>51/22A,Main Road,Manalmedu
51/22A,Main Road,Manalmedu,51/22A,Main Road,Manalmedu</v>
      </c>
      <c r="E38" s="27"/>
      <c r="G38" s="22"/>
      <c r="H38" s="23"/>
      <c r="I38" s="16"/>
      <c r="J38" s="26" t="str">
        <f ca="1">V17</f>
        <v>2/282,Vinayagar Street,Kadalangudi
2/282,Vinayagar Street,Kadalangudi,2/282,Vinayagar Street,Kadalangudi</v>
      </c>
      <c r="K38" s="27"/>
      <c r="O38"/>
      <c r="P38"/>
      <c r="Q38"/>
      <c r="R38"/>
      <c r="S38"/>
      <c r="T38"/>
      <c r="U38"/>
      <c r="V38"/>
      <c r="W38"/>
      <c r="X38"/>
    </row>
    <row r="39" spans="1:24" ht="16.5" customHeight="1" x14ac:dyDescent="0.25">
      <c r="A39" s="22"/>
      <c r="B39" s="23"/>
      <c r="C39" s="16"/>
      <c r="D39" s="28">
        <f ca="1">W16</f>
        <v>191</v>
      </c>
      <c r="E39" s="29"/>
      <c r="G39" s="22"/>
      <c r="H39" s="23"/>
      <c r="I39" s="16"/>
      <c r="J39" s="28">
        <f ca="1">W17</f>
        <v>191</v>
      </c>
      <c r="K39" s="29"/>
      <c r="O39"/>
      <c r="P39"/>
      <c r="Q39"/>
      <c r="R39"/>
      <c r="S39"/>
      <c r="T39"/>
      <c r="U39"/>
      <c r="V39"/>
      <c r="W39"/>
      <c r="X39"/>
    </row>
    <row r="40" spans="1:24" x14ac:dyDescent="0.25">
      <c r="A40" s="15"/>
      <c r="B40" s="16"/>
      <c r="C40" s="16"/>
      <c r="D40" s="16"/>
      <c r="E40" s="17"/>
      <c r="G40" s="15"/>
      <c r="H40" s="16"/>
      <c r="I40" s="16"/>
      <c r="J40" s="16"/>
      <c r="K40" s="17"/>
    </row>
    <row r="41" spans="1:24" x14ac:dyDescent="0.25">
      <c r="A41" s="15"/>
      <c r="B41" s="16"/>
      <c r="C41" s="16"/>
      <c r="D41" s="16"/>
      <c r="E41" s="17"/>
      <c r="G41" s="15"/>
      <c r="H41" s="16"/>
      <c r="I41" s="16"/>
      <c r="J41" s="16"/>
      <c r="K41" s="17"/>
    </row>
    <row r="42" spans="1:24" x14ac:dyDescent="0.25">
      <c r="A42" s="18">
        <f ca="1">X16</f>
        <v>41816</v>
      </c>
      <c r="B42" s="19"/>
      <c r="C42" s="16"/>
      <c r="D42" s="16"/>
      <c r="E42" s="17"/>
      <c r="G42" s="18">
        <f ca="1">X17</f>
        <v>41816</v>
      </c>
      <c r="H42" s="19"/>
      <c r="I42" s="16"/>
      <c r="J42" s="16"/>
      <c r="K42" s="17"/>
    </row>
    <row r="43" spans="1:24" ht="21" customHeight="1" x14ac:dyDescent="0.25">
      <c r="A43" s="12"/>
      <c r="B43" s="13"/>
      <c r="C43" s="13"/>
      <c r="D43" s="13"/>
      <c r="E43" s="14"/>
      <c r="G43" s="12"/>
      <c r="H43" s="13"/>
      <c r="I43" s="13"/>
      <c r="J43" s="13"/>
      <c r="K43" s="14"/>
    </row>
    <row r="44" spans="1:24" ht="15" customHeight="1" x14ac:dyDescent="0.25">
      <c r="B44" s="4"/>
      <c r="C44" s="4"/>
      <c r="D44" s="4"/>
      <c r="E44" s="4"/>
      <c r="H44" s="4"/>
      <c r="I44" s="4"/>
      <c r="J44" s="4"/>
      <c r="K44" s="4"/>
    </row>
    <row r="45" spans="1:24" x14ac:dyDescent="0.25">
      <c r="B45" s="4"/>
      <c r="C45" s="4"/>
      <c r="D45" s="4"/>
      <c r="E45" s="4"/>
      <c r="H45" s="4"/>
      <c r="I45" s="4"/>
      <c r="J45" s="4"/>
      <c r="K45" s="4"/>
    </row>
    <row r="46" spans="1:24" x14ac:dyDescent="0.25">
      <c r="B46" s="4"/>
      <c r="C46" s="4"/>
      <c r="D46" s="4"/>
      <c r="E46" s="4"/>
      <c r="H46" s="4"/>
      <c r="I46" s="4"/>
      <c r="J46" s="4"/>
      <c r="K46" s="4"/>
    </row>
    <row r="47" spans="1:24" ht="14.25" customHeight="1" x14ac:dyDescent="0.25">
      <c r="B47" s="4"/>
      <c r="C47" s="4"/>
      <c r="D47" s="4"/>
      <c r="E47" s="4"/>
      <c r="H47" s="4"/>
      <c r="I47" s="4"/>
      <c r="J47" s="4"/>
      <c r="K47" s="4"/>
    </row>
    <row r="48" spans="1:24" x14ac:dyDescent="0.25">
      <c r="B48" s="4"/>
      <c r="C48" s="4"/>
      <c r="D48" s="4"/>
      <c r="E48" s="4"/>
      <c r="H48" s="4"/>
      <c r="I48" s="4"/>
      <c r="J48" s="4"/>
      <c r="K48" s="4"/>
    </row>
    <row r="49" spans="2:11" x14ac:dyDescent="0.25">
      <c r="B49" s="4"/>
      <c r="C49" s="4"/>
      <c r="D49" s="4"/>
      <c r="E49" s="4"/>
      <c r="H49" s="4"/>
      <c r="I49" s="4"/>
      <c r="J49" s="4"/>
      <c r="K49" s="4"/>
    </row>
    <row r="50" spans="2:11" x14ac:dyDescent="0.25">
      <c r="B50" s="4"/>
      <c r="C50" s="4"/>
      <c r="D50" s="4"/>
      <c r="E50" s="4"/>
      <c r="H50" s="4"/>
      <c r="I50" s="4"/>
      <c r="J50" s="4"/>
      <c r="K50" s="4"/>
    </row>
  </sheetData>
  <mergeCells count="94">
    <mergeCell ref="Q2:S2"/>
    <mergeCell ref="P6:P7"/>
    <mergeCell ref="Q6:Q7"/>
    <mergeCell ref="R6:R7"/>
    <mergeCell ref="S6:S7"/>
    <mergeCell ref="Q4:S4"/>
    <mergeCell ref="A1:B1"/>
    <mergeCell ref="B2:E2"/>
    <mergeCell ref="D3:E4"/>
    <mergeCell ref="D5:E5"/>
    <mergeCell ref="D6:E6"/>
    <mergeCell ref="C3:C6"/>
    <mergeCell ref="A3:B6"/>
    <mergeCell ref="G1:H1"/>
    <mergeCell ref="H2:K2"/>
    <mergeCell ref="G3:H6"/>
    <mergeCell ref="I3:I6"/>
    <mergeCell ref="J3:K4"/>
    <mergeCell ref="J5:K5"/>
    <mergeCell ref="J6:K6"/>
    <mergeCell ref="G7:K8"/>
    <mergeCell ref="G9:H9"/>
    <mergeCell ref="I9:K9"/>
    <mergeCell ref="G10:K10"/>
    <mergeCell ref="A12:B12"/>
    <mergeCell ref="G12:H12"/>
    <mergeCell ref="A7:E8"/>
    <mergeCell ref="A10:E10"/>
    <mergeCell ref="A9:B9"/>
    <mergeCell ref="C9:E9"/>
    <mergeCell ref="B13:E13"/>
    <mergeCell ref="H13:K13"/>
    <mergeCell ref="A14:B17"/>
    <mergeCell ref="C14:C17"/>
    <mergeCell ref="D14:E15"/>
    <mergeCell ref="G14:H17"/>
    <mergeCell ref="I14:I17"/>
    <mergeCell ref="J14:K15"/>
    <mergeCell ref="D16:E16"/>
    <mergeCell ref="J16:K16"/>
    <mergeCell ref="D17:E17"/>
    <mergeCell ref="J17:K17"/>
    <mergeCell ref="A21:E21"/>
    <mergeCell ref="G21:K21"/>
    <mergeCell ref="A18:E19"/>
    <mergeCell ref="G18:K19"/>
    <mergeCell ref="A20:B20"/>
    <mergeCell ref="C20:E20"/>
    <mergeCell ref="G20:H20"/>
    <mergeCell ref="I20:K20"/>
    <mergeCell ref="J28:K28"/>
    <mergeCell ref="A25:B28"/>
    <mergeCell ref="C25:C28"/>
    <mergeCell ref="D25:E26"/>
    <mergeCell ref="G25:H28"/>
    <mergeCell ref="I25:I28"/>
    <mergeCell ref="A32:E32"/>
    <mergeCell ref="G32:K32"/>
    <mergeCell ref="A23:B23"/>
    <mergeCell ref="G23:H23"/>
    <mergeCell ref="B24:E24"/>
    <mergeCell ref="H24:K24"/>
    <mergeCell ref="A29:E30"/>
    <mergeCell ref="G29:K30"/>
    <mergeCell ref="A31:B31"/>
    <mergeCell ref="C31:E31"/>
    <mergeCell ref="G31:H31"/>
    <mergeCell ref="I31:K31"/>
    <mergeCell ref="J25:K26"/>
    <mergeCell ref="D27:E27"/>
    <mergeCell ref="J27:K27"/>
    <mergeCell ref="D28:E28"/>
    <mergeCell ref="A34:B34"/>
    <mergeCell ref="G34:H34"/>
    <mergeCell ref="B35:E35"/>
    <mergeCell ref="H35:K35"/>
    <mergeCell ref="A36:B39"/>
    <mergeCell ref="C36:C39"/>
    <mergeCell ref="D36:E37"/>
    <mergeCell ref="G36:H39"/>
    <mergeCell ref="I36:I39"/>
    <mergeCell ref="J36:K37"/>
    <mergeCell ref="D38:E38"/>
    <mergeCell ref="J38:K38"/>
    <mergeCell ref="D39:E39"/>
    <mergeCell ref="J39:K39"/>
    <mergeCell ref="A43:E43"/>
    <mergeCell ref="G43:K43"/>
    <mergeCell ref="A40:E41"/>
    <mergeCell ref="G40:K41"/>
    <mergeCell ref="A42:B42"/>
    <mergeCell ref="C42:E42"/>
    <mergeCell ref="G42:H42"/>
    <mergeCell ref="I42:K42"/>
  </mergeCells>
  <dataValidations count="1">
    <dataValidation type="whole" allowBlank="1" showInputMessage="1" showErrorMessage="1" sqref="Q6:Q7">
      <formula1>1</formula1>
      <formula2>TotalPages</formula2>
    </dataValidation>
  </dataValidations>
  <printOptions horizontalCentered="1" verticalCentered="1"/>
  <pageMargins left="0.23622047244094491" right="0.23622047244094491" top="0.23622047244094491" bottom="0.23622047244094491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Layout</vt:lpstr>
      <vt:lpstr>DynamicFileName</vt:lpstr>
      <vt:lpstr>FileName</vt:lpstr>
      <vt:lpstr>PageToPrint</vt:lpstr>
      <vt:lpstr>Layout!Print_Area</vt:lpstr>
      <vt:lpstr>RowsPerPage</vt:lpstr>
      <vt:lpstr>SheetName</vt:lpstr>
      <vt:lpstr>TotalPages</vt:lpstr>
      <vt:lpstr>TotalRows</vt:lpstr>
    </vt:vector>
  </TitlesOfParts>
  <Company>Sri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 Kumar S</dc:creator>
  <cp:lastModifiedBy>Naga Kumar S</cp:lastModifiedBy>
  <cp:lastPrinted>2015-02-07T21:03:56Z</cp:lastPrinted>
  <dcterms:created xsi:type="dcterms:W3CDTF">2015-02-07T17:21:45Z</dcterms:created>
  <dcterms:modified xsi:type="dcterms:W3CDTF">2015-02-07T21:17:16Z</dcterms:modified>
</cp:coreProperties>
</file>